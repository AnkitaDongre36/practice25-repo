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Analytics\gitdata\practice25-repo\"/>
    </mc:Choice>
  </mc:AlternateContent>
  <xr:revisionPtr revIDLastSave="0" documentId="13_ncr:1_{6A9452FE-63B8-4D6B-9785-920F1D6D79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ic Question" sheetId="1" r:id="rId1"/>
    <sheet name="Intermediate Q" sheetId="2" r:id="rId2"/>
    <sheet name="Advance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3" l="1"/>
  <c r="L10" i="3"/>
  <c r="L22" i="3"/>
  <c r="L20" i="3"/>
  <c r="L18" i="3"/>
  <c r="I7" i="2"/>
  <c r="L16" i="3"/>
  <c r="L14" i="3"/>
  <c r="L12" i="3"/>
  <c r="M7" i="3"/>
  <c r="M3" i="3"/>
  <c r="M5" i="3"/>
  <c r="I13" i="1" l="1"/>
  <c r="I15" i="2"/>
  <c r="I10" i="2"/>
  <c r="I12" i="2"/>
  <c r="I4" i="2"/>
  <c r="R4" i="2" a="1"/>
  <c r="R4" i="2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9" i="1"/>
  <c r="Q4" i="1"/>
  <c r="R4" i="1"/>
  <c r="S4" i="1"/>
  <c r="P4" i="1"/>
  <c r="I17" i="1"/>
  <c r="I10" i="1"/>
  <c r="I7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<sst xmlns="http://schemas.openxmlformats.org/spreadsheetml/2006/main" count="221" uniqueCount="73">
  <si>
    <t>Product ID</t>
  </si>
  <si>
    <t>Product Name</t>
  </si>
  <si>
    <t>Q1</t>
  </si>
  <si>
    <t>Q2</t>
  </si>
  <si>
    <t>Q3</t>
  </si>
  <si>
    <t>Q4</t>
  </si>
  <si>
    <t>P001</t>
  </si>
  <si>
    <t>Laptop</t>
  </si>
  <si>
    <t>P002</t>
  </si>
  <si>
    <t>Mobile</t>
  </si>
  <si>
    <t>P003</t>
  </si>
  <si>
    <t>Tablet</t>
  </si>
  <si>
    <t>P004</t>
  </si>
  <si>
    <t>Monitor</t>
  </si>
  <si>
    <t>P005</t>
  </si>
  <si>
    <t>Keyboard</t>
  </si>
  <si>
    <t>P006</t>
  </si>
  <si>
    <t>Mouse</t>
  </si>
  <si>
    <t>P007</t>
  </si>
  <si>
    <t>Headphone</t>
  </si>
  <si>
    <t>P008</t>
  </si>
  <si>
    <t>Speaker</t>
  </si>
  <si>
    <t>P009</t>
  </si>
  <si>
    <t>Printer</t>
  </si>
  <si>
    <t>P010</t>
  </si>
  <si>
    <t>Scanner</t>
  </si>
  <si>
    <t>P011</t>
  </si>
  <si>
    <t>Router</t>
  </si>
  <si>
    <t>P012</t>
  </si>
  <si>
    <t>Projector</t>
  </si>
  <si>
    <t>P013</t>
  </si>
  <si>
    <t>Hard Disk</t>
  </si>
  <si>
    <t>P014</t>
  </si>
  <si>
    <t>SSD</t>
  </si>
  <si>
    <t>P015</t>
  </si>
  <si>
    <t>Power Bank</t>
  </si>
  <si>
    <t>P016</t>
  </si>
  <si>
    <t>Web Camera</t>
  </si>
  <si>
    <t>P017</t>
  </si>
  <si>
    <t>Microphone</t>
  </si>
  <si>
    <t>P018</t>
  </si>
  <si>
    <t>Smart Watch</t>
  </si>
  <si>
    <t>P019</t>
  </si>
  <si>
    <t>Bluetooth</t>
  </si>
  <si>
    <t>P020</t>
  </si>
  <si>
    <t>Charger</t>
  </si>
  <si>
    <r>
      <t xml:space="preserve">Find the </t>
    </r>
    <r>
      <rPr>
        <b/>
        <sz val="11"/>
        <color theme="1"/>
        <rFont val="Calibri"/>
        <family val="2"/>
        <scheme val="minor"/>
      </rPr>
      <t>Q3 sales</t>
    </r>
    <r>
      <rPr>
        <sz val="11"/>
        <color theme="1"/>
        <rFont val="Calibri"/>
        <family val="2"/>
        <scheme val="minor"/>
      </rPr>
      <t xml:space="preserve"> of </t>
    </r>
    <r>
      <rPr>
        <i/>
        <sz val="11"/>
        <color theme="1"/>
        <rFont val="Calibri"/>
        <family val="2"/>
        <scheme val="minor"/>
      </rPr>
      <t>Mobile</t>
    </r>
    <r>
      <rPr>
        <sz val="11"/>
        <color theme="1"/>
        <rFont val="Calibri"/>
        <family val="2"/>
        <scheme val="minor"/>
      </rPr>
      <t xml:space="preserve"> using HLOOKUP.</t>
    </r>
  </si>
  <si>
    <t>Ans</t>
  </si>
  <si>
    <t>Find the Q4 sales of Tablet using HLOOKUP.</t>
  </si>
  <si>
    <r>
      <t xml:space="preserve">Display the </t>
    </r>
    <r>
      <rPr>
        <b/>
        <sz val="11"/>
        <color theme="1"/>
        <rFont val="Calibri"/>
        <family val="2"/>
        <scheme val="minor"/>
      </rPr>
      <t>Q1 sales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>.</t>
    </r>
  </si>
  <si>
    <t>Use HLOOKUP to return Mouse’s Q2 sales value</t>
  </si>
  <si>
    <t>Q5</t>
  </si>
  <si>
    <t>Find the Q3 value for Monitor.</t>
  </si>
  <si>
    <t>Write a formula to find the Q2 sales of the product entered in cell A25</t>
  </si>
  <si>
    <t>2. If a product name is misspelled, show “Not Found” instead of an error (using IFERROR)</t>
  </si>
  <si>
    <r>
      <t xml:space="preserve">Return the </t>
    </r>
    <r>
      <rPr>
        <b/>
        <sz val="11"/>
        <color theme="1"/>
        <rFont val="Calibri"/>
        <family val="2"/>
        <scheme val="minor"/>
      </rPr>
      <t>Q4 value</t>
    </r>
    <r>
      <rPr>
        <sz val="11"/>
        <color theme="1"/>
        <rFont val="Calibri"/>
        <family val="2"/>
        <scheme val="minor"/>
      </rPr>
      <t xml:space="preserve"> of </t>
    </r>
    <r>
      <rPr>
        <i/>
        <sz val="11"/>
        <color theme="1"/>
        <rFont val="Calibri"/>
        <family val="2"/>
        <scheme val="minor"/>
      </rPr>
      <t>SSD</t>
    </r>
    <r>
      <rPr>
        <sz val="11"/>
        <color theme="1"/>
        <rFont val="Calibri"/>
        <family val="2"/>
        <scheme val="minor"/>
      </rPr>
      <t xml:space="preserve"> using HLOOKUP from a </t>
    </r>
    <r>
      <rPr>
        <b/>
        <sz val="11"/>
        <color theme="1"/>
        <rFont val="Calibri"/>
        <family val="2"/>
        <scheme val="minor"/>
      </rPr>
      <t>different sheet</t>
    </r>
    <r>
      <rPr>
        <sz val="11"/>
        <color theme="1"/>
        <rFont val="Calibri"/>
        <family val="2"/>
        <scheme val="minor"/>
      </rPr>
      <t xml:space="preserve"> named </t>
    </r>
    <r>
      <rPr>
        <sz val="10"/>
        <color theme="1"/>
        <rFont val="Arial Unicode MS"/>
      </rPr>
      <t>SalesData</t>
    </r>
    <r>
      <rPr>
        <sz val="11"/>
        <color theme="1"/>
        <rFont val="Calibri"/>
        <family val="2"/>
        <scheme val="minor"/>
      </rPr>
      <t>.</t>
    </r>
  </si>
  <si>
    <r>
      <t xml:space="preserve">Use HLOOKUP to find </t>
    </r>
    <r>
      <rPr>
        <b/>
        <sz val="11"/>
        <color theme="1"/>
        <rFont val="Calibri"/>
        <family val="2"/>
        <scheme val="minor"/>
      </rPr>
      <t>the nearest matching sales</t>
    </r>
    <r>
      <rPr>
        <sz val="11"/>
        <color theme="1"/>
        <rFont val="Calibri"/>
        <family val="2"/>
        <scheme val="minor"/>
      </rPr>
      <t xml:space="preserve"> for Q1 (approximate match = TRUE)</t>
    </r>
  </si>
  <si>
    <t>Q6</t>
  </si>
  <si>
    <t>🟩 5. Combine HLOOKUP with MATCH to find the sales of Q3 dynamically (without typing row number)</t>
  </si>
  <si>
    <r>
      <t xml:space="preserve">Write a formula that returns </t>
    </r>
    <r>
      <rPr>
        <i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>’s Q4 sales but displays “Low” if it’s below 300</t>
    </r>
  </si>
  <si>
    <r>
      <t xml:space="preserve">You want to find </t>
    </r>
    <r>
      <rPr>
        <i/>
        <sz val="11"/>
        <color theme="1"/>
        <rFont val="Calibri"/>
        <family val="2"/>
        <scheme val="minor"/>
      </rPr>
      <t>Router</t>
    </r>
    <r>
      <rPr>
        <sz val="11"/>
        <color theme="1"/>
        <rFont val="Calibri"/>
        <family val="2"/>
        <scheme val="minor"/>
      </rPr>
      <t>’s Q2 sales; if blank, display “Data Missing”.</t>
    </r>
  </si>
  <si>
    <r>
      <t xml:space="preserve">Suppose a user enters a quarter (Q1, Q2, Q3, Q4) in cell </t>
    </r>
    <r>
      <rPr>
        <b/>
        <sz val="11"/>
        <color theme="1"/>
        <rFont val="Calibri"/>
        <family val="2"/>
        <scheme val="minor"/>
      </rPr>
      <t>B25</t>
    </r>
    <r>
      <rPr>
        <sz val="11"/>
        <color theme="1"/>
        <rFont val="Calibri"/>
        <family val="2"/>
        <scheme val="minor"/>
      </rPr>
      <t xml:space="preserve"> — make a formula that fetches </t>
    </r>
    <r>
      <rPr>
        <i/>
        <sz val="11"/>
        <color theme="1"/>
        <rFont val="Calibri"/>
        <family val="2"/>
        <scheme val="minor"/>
      </rPr>
      <t>Tablet</t>
    </r>
    <r>
      <rPr>
        <sz val="11"/>
        <color theme="1"/>
        <rFont val="Calibri"/>
        <family val="2"/>
        <scheme val="minor"/>
      </rPr>
      <t>’s value for that quarter</t>
    </r>
  </si>
  <si>
    <r>
      <t xml:space="preserve">Create a formula to show </t>
    </r>
    <r>
      <rPr>
        <i/>
        <sz val="11"/>
        <color theme="1"/>
        <rFont val="Calibri"/>
        <family val="2"/>
        <scheme val="minor"/>
      </rPr>
      <t>Monitor</t>
    </r>
    <r>
      <rPr>
        <sz val="11"/>
        <color theme="1"/>
        <rFont val="Calibri"/>
        <family val="2"/>
        <scheme val="minor"/>
      </rPr>
      <t xml:space="preserve">’s </t>
    </r>
    <r>
      <rPr>
        <b/>
        <sz val="11"/>
        <color theme="1"/>
        <rFont val="Calibri"/>
        <family val="2"/>
        <scheme val="minor"/>
      </rPr>
      <t>Q1–Q4 average</t>
    </r>
    <r>
      <rPr>
        <sz val="11"/>
        <color theme="1"/>
        <rFont val="Calibri"/>
        <family val="2"/>
        <scheme val="minor"/>
      </rPr>
      <t xml:space="preserve"> using multiple HLOOKUPs.</t>
    </r>
  </si>
  <si>
    <r>
      <t xml:space="preserve">Combine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to check if </t>
    </r>
    <r>
      <rPr>
        <i/>
        <sz val="11"/>
        <color theme="1"/>
        <rFont val="Calibri"/>
        <family val="2"/>
        <scheme val="minor"/>
      </rPr>
      <t>Power Bank</t>
    </r>
    <r>
      <rPr>
        <sz val="11"/>
        <color theme="1"/>
        <rFont val="Calibri"/>
        <family val="2"/>
        <scheme val="minor"/>
      </rPr>
      <t>’s Q4 sales &gt; 190; if yes, display “Target Achieved”.</t>
    </r>
  </si>
  <si>
    <r>
      <t xml:space="preserve">Fetch </t>
    </r>
    <r>
      <rPr>
        <i/>
        <sz val="11"/>
        <color theme="1"/>
        <rFont val="Calibri"/>
        <family val="2"/>
        <scheme val="minor"/>
      </rPr>
      <t>Scanner</t>
    </r>
    <r>
      <rPr>
        <sz val="11"/>
        <color theme="1"/>
        <rFont val="Calibri"/>
        <family val="2"/>
        <scheme val="minor"/>
      </rPr>
      <t xml:space="preserve">’s Q3 data but round it off using </t>
    </r>
    <r>
      <rPr>
        <sz val="10"/>
        <color theme="1"/>
        <rFont val="Arial Unicode MS"/>
      </rPr>
      <t>ROUND(HLOOKUP(...), 0)</t>
    </r>
    <r>
      <rPr>
        <sz val="11"/>
        <color theme="1"/>
        <rFont val="Calibri"/>
        <family val="2"/>
        <scheme val="minor"/>
      </rPr>
      <t>.</t>
    </r>
  </si>
  <si>
    <r>
      <t xml:space="preserve">For </t>
    </r>
    <r>
      <rPr>
        <i/>
        <sz val="11"/>
        <color theme="1"/>
        <rFont val="Calibri"/>
        <family val="2"/>
        <scheme val="minor"/>
      </rPr>
      <t>Hard Disk</t>
    </r>
    <r>
      <rPr>
        <sz val="11"/>
        <color theme="1"/>
        <rFont val="Calibri"/>
        <family val="2"/>
        <scheme val="minor"/>
      </rPr>
      <t>, return Q2 sales; if not found, return “N/A”.</t>
    </r>
  </si>
  <si>
    <r>
      <t xml:space="preserve">Create a formula to return </t>
    </r>
    <r>
      <rPr>
        <i/>
        <sz val="11"/>
        <color theme="1"/>
        <rFont val="Calibri"/>
        <family val="2"/>
        <scheme val="minor"/>
      </rPr>
      <t>Smart Watch</t>
    </r>
    <r>
      <rPr>
        <sz val="11"/>
        <color theme="1"/>
        <rFont val="Calibri"/>
        <family val="2"/>
        <scheme val="minor"/>
      </rPr>
      <t>’s Q4 sales from a dynamic cell where “Smart Watch” is typed by the user.</t>
    </r>
  </si>
  <si>
    <r>
      <t xml:space="preserve">Display </t>
    </r>
    <r>
      <rPr>
        <i/>
        <sz val="11"/>
        <color theme="1"/>
        <rFont val="Calibri"/>
        <family val="2"/>
        <scheme val="minor"/>
      </rPr>
      <t>Bluetooth</t>
    </r>
    <r>
      <rPr>
        <sz val="11"/>
        <color theme="1"/>
        <rFont val="Calibri"/>
        <family val="2"/>
        <scheme val="minor"/>
      </rPr>
      <t>’s Q3 sales using HLOOKUP, and append “ units” at the end of the result</t>
    </r>
  </si>
  <si>
    <r>
      <t xml:space="preserve">Use HLOOKUP to return </t>
    </r>
    <r>
      <rPr>
        <i/>
        <strike/>
        <sz val="11"/>
        <color theme="1"/>
        <rFont val="Calibri"/>
        <family val="2"/>
        <scheme val="minor"/>
      </rPr>
      <t>Projector</t>
    </r>
    <r>
      <rPr>
        <strike/>
        <sz val="11"/>
        <color theme="1"/>
        <rFont val="Calibri"/>
        <family val="2"/>
        <scheme val="minor"/>
      </rPr>
      <t xml:space="preserve">’s </t>
    </r>
    <r>
      <rPr>
        <b/>
        <strike/>
        <sz val="11"/>
        <color theme="1"/>
        <rFont val="Calibri"/>
        <family val="2"/>
        <scheme val="minor"/>
      </rPr>
      <t>Q2 sales</t>
    </r>
    <r>
      <rPr>
        <strike/>
        <sz val="11"/>
        <color theme="1"/>
        <rFont val="Calibri"/>
        <family val="2"/>
        <scheme val="minor"/>
      </rPr>
      <t xml:space="preserve">, and multiply it by </t>
    </r>
    <r>
      <rPr>
        <b/>
        <strike/>
        <sz val="11"/>
        <color theme="1"/>
        <rFont val="Calibri"/>
        <family val="2"/>
        <scheme val="minor"/>
      </rPr>
      <t>1.05</t>
    </r>
    <r>
      <rPr>
        <strike/>
        <sz val="11"/>
        <color theme="1"/>
        <rFont val="Calibri"/>
        <family val="2"/>
        <scheme val="minor"/>
      </rPr>
      <t xml:space="preserve"> to include 5% growth.</t>
    </r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</si>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</sst>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trike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zoomScale="112" zoomScaleNormal="112" workbookViewId="0">
      <selection sqref="A1:F21"/>
    </sheetView>
  </sheetViews>
  <sheetFormatPr defaultRowHeight="14.4"/>
  <cols>
    <col min="1" max="1" width="9.88671875" bestFit="1" customWidth="1"/>
    <col min="2" max="2" width="13.109375" bestFit="1" customWidth="1"/>
    <col min="14" max="15" width="13.109375" bestFit="1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9">
      <c r="A2" t="s">
        <v>6</v>
      </c>
      <c r="B2" t="s">
        <v>7</v>
      </c>
      <c r="C2">
        <v>250</v>
      </c>
      <c r="D2">
        <v>300</v>
      </c>
      <c r="E2">
        <v>280</v>
      </c>
      <c r="F2">
        <v>350</v>
      </c>
    </row>
    <row r="3" spans="1:19">
      <c r="A3" t="s">
        <v>8</v>
      </c>
      <c r="B3" t="s">
        <v>9</v>
      </c>
      <c r="C3">
        <v>400</v>
      </c>
      <c r="D3">
        <v>420</v>
      </c>
      <c r="E3">
        <v>410</v>
      </c>
      <c r="F3">
        <v>450</v>
      </c>
      <c r="H3" t="s">
        <v>2</v>
      </c>
      <c r="I3" t="s">
        <v>46</v>
      </c>
      <c r="O3" t="s">
        <v>1</v>
      </c>
      <c r="P3" t="s">
        <v>2</v>
      </c>
      <c r="Q3" t="s">
        <v>3</v>
      </c>
      <c r="R3" t="s">
        <v>4</v>
      </c>
      <c r="S3" t="s">
        <v>5</v>
      </c>
    </row>
    <row r="4" spans="1:19">
      <c r="A4" t="s">
        <v>10</v>
      </c>
      <c r="B4" t="s">
        <v>11</v>
      </c>
      <c r="C4">
        <v>180</v>
      </c>
      <c r="D4">
        <v>200</v>
      </c>
      <c r="E4">
        <v>210</v>
      </c>
      <c r="F4">
        <v>230</v>
      </c>
      <c r="H4" t="s">
        <v>47</v>
      </c>
      <c r="I4">
        <f>HLOOKUP(E1,$A$1:$F$21,3,FALSE)</f>
        <v>410</v>
      </c>
      <c r="O4" t="s">
        <v>11</v>
      </c>
      <c r="P4">
        <f>HLOOKUP(P3,$B$1:$F$21,2,FALSE)</f>
        <v>250</v>
      </c>
      <c r="Q4">
        <f t="shared" ref="Q4:S4" si="0">HLOOKUP(Q3,$B$1:$F$21,2,FALSE)</f>
        <v>300</v>
      </c>
      <c r="R4">
        <f t="shared" si="0"/>
        <v>280</v>
      </c>
      <c r="S4">
        <f t="shared" si="0"/>
        <v>350</v>
      </c>
    </row>
    <row r="5" spans="1:19">
      <c r="A5" t="s">
        <v>12</v>
      </c>
      <c r="B5" t="s">
        <v>13</v>
      </c>
      <c r="C5">
        <v>150</v>
      </c>
      <c r="D5">
        <v>160</v>
      </c>
      <c r="E5">
        <v>155</v>
      </c>
      <c r="F5">
        <v>165</v>
      </c>
    </row>
    <row r="6" spans="1:19">
      <c r="A6" t="s">
        <v>14</v>
      </c>
      <c r="B6" t="s">
        <v>15</v>
      </c>
      <c r="C6">
        <v>90</v>
      </c>
      <c r="D6">
        <v>95</v>
      </c>
      <c r="E6">
        <v>92</v>
      </c>
      <c r="F6">
        <v>97</v>
      </c>
      <c r="H6" t="s">
        <v>3</v>
      </c>
      <c r="I6" t="s">
        <v>48</v>
      </c>
    </row>
    <row r="7" spans="1:19">
      <c r="A7" t="s">
        <v>16</v>
      </c>
      <c r="B7" t="s">
        <v>17</v>
      </c>
      <c r="C7">
        <v>75</v>
      </c>
      <c r="D7">
        <v>80</v>
      </c>
      <c r="E7">
        <v>78</v>
      </c>
      <c r="F7">
        <v>85</v>
      </c>
      <c r="H7" t="s">
        <v>47</v>
      </c>
      <c r="I7">
        <f>HLOOKUP(F1,$A$1:$F$21,4,FALSE)</f>
        <v>230</v>
      </c>
      <c r="N7" s="1"/>
    </row>
    <row r="8" spans="1:19">
      <c r="A8" t="s">
        <v>18</v>
      </c>
      <c r="B8" t="s">
        <v>19</v>
      </c>
      <c r="C8">
        <v>120</v>
      </c>
      <c r="D8">
        <v>130</v>
      </c>
      <c r="E8">
        <v>125</v>
      </c>
      <c r="F8">
        <v>140</v>
      </c>
      <c r="N8" t="s">
        <v>4</v>
      </c>
    </row>
    <row r="9" spans="1:19">
      <c r="A9" t="s">
        <v>20</v>
      </c>
      <c r="B9" t="s">
        <v>21</v>
      </c>
      <c r="C9">
        <v>160</v>
      </c>
      <c r="D9">
        <v>170</v>
      </c>
      <c r="E9">
        <v>165</v>
      </c>
      <c r="F9">
        <v>180</v>
      </c>
      <c r="H9" t="s">
        <v>4</v>
      </c>
      <c r="I9" t="s">
        <v>49</v>
      </c>
      <c r="N9">
        <f>HLOOKUP(N$8,$B$1:$F$21,ROW()-7,FALSE)</f>
        <v>280</v>
      </c>
      <c r="O9" t="s">
        <v>7</v>
      </c>
    </row>
    <row r="10" spans="1:19">
      <c r="A10" t="s">
        <v>22</v>
      </c>
      <c r="B10" t="s">
        <v>23</v>
      </c>
      <c r="C10">
        <v>210</v>
      </c>
      <c r="D10">
        <v>230</v>
      </c>
      <c r="E10">
        <v>220</v>
      </c>
      <c r="F10">
        <v>240</v>
      </c>
      <c r="H10" t="s">
        <v>47</v>
      </c>
      <c r="I10">
        <f>HLOOKUP(C1,$A$1:$F$21,10,FALSE)</f>
        <v>210</v>
      </c>
      <c r="N10">
        <f t="shared" ref="N10:N28" si="1">HLOOKUP(N$8,$B$1:$F$21,ROW()-7,FALSE)</f>
        <v>410</v>
      </c>
      <c r="O10" t="s">
        <v>9</v>
      </c>
    </row>
    <row r="11" spans="1:19">
      <c r="A11" t="s">
        <v>24</v>
      </c>
      <c r="B11" t="s">
        <v>25</v>
      </c>
      <c r="C11">
        <v>190</v>
      </c>
      <c r="D11">
        <v>200</v>
      </c>
      <c r="E11">
        <v>195</v>
      </c>
      <c r="F11">
        <v>205</v>
      </c>
      <c r="N11">
        <f t="shared" si="1"/>
        <v>210</v>
      </c>
      <c r="O11" t="s">
        <v>11</v>
      </c>
    </row>
    <row r="12" spans="1:19">
      <c r="A12" t="s">
        <v>26</v>
      </c>
      <c r="B12" t="s">
        <v>27</v>
      </c>
      <c r="C12">
        <v>110</v>
      </c>
      <c r="D12">
        <v>120</v>
      </c>
      <c r="E12">
        <v>115</v>
      </c>
      <c r="F12">
        <v>130</v>
      </c>
      <c r="H12" t="s">
        <v>5</v>
      </c>
      <c r="I12" t="s">
        <v>50</v>
      </c>
      <c r="N12">
        <f t="shared" si="1"/>
        <v>155</v>
      </c>
      <c r="O12" t="s">
        <v>13</v>
      </c>
    </row>
    <row r="13" spans="1:19">
      <c r="A13" t="s">
        <v>28</v>
      </c>
      <c r="B13" t="s">
        <v>29</v>
      </c>
      <c r="C13">
        <v>300</v>
      </c>
      <c r="D13">
        <v>320</v>
      </c>
      <c r="E13">
        <v>310</v>
      </c>
      <c r="F13">
        <v>330</v>
      </c>
      <c r="H13" t="s">
        <v>47</v>
      </c>
      <c r="I13">
        <f>HLOOKUP(D1,A1:F21,7,FALSE)</f>
        <v>80</v>
      </c>
      <c r="N13">
        <f t="shared" si="1"/>
        <v>92</v>
      </c>
      <c r="O13" t="s">
        <v>15</v>
      </c>
    </row>
    <row r="14" spans="1:19">
      <c r="A14" t="s">
        <v>30</v>
      </c>
      <c r="B14" t="s">
        <v>31</v>
      </c>
      <c r="C14">
        <v>260</v>
      </c>
      <c r="D14">
        <v>270</v>
      </c>
      <c r="E14">
        <v>265</v>
      </c>
      <c r="F14">
        <v>280</v>
      </c>
      <c r="N14">
        <f t="shared" si="1"/>
        <v>78</v>
      </c>
      <c r="O14" t="s">
        <v>17</v>
      </c>
    </row>
    <row r="15" spans="1:19">
      <c r="A15" t="s">
        <v>32</v>
      </c>
      <c r="B15" t="s">
        <v>33</v>
      </c>
      <c r="C15">
        <v>350</v>
      </c>
      <c r="D15">
        <v>360</v>
      </c>
      <c r="E15">
        <v>355</v>
      </c>
      <c r="F15">
        <v>370</v>
      </c>
      <c r="N15">
        <f t="shared" si="1"/>
        <v>125</v>
      </c>
      <c r="O15" t="s">
        <v>19</v>
      </c>
    </row>
    <row r="16" spans="1:19">
      <c r="A16" t="s">
        <v>34</v>
      </c>
      <c r="B16" t="s">
        <v>35</v>
      </c>
      <c r="C16">
        <v>180</v>
      </c>
      <c r="D16">
        <v>190</v>
      </c>
      <c r="E16">
        <v>185</v>
      </c>
      <c r="F16">
        <v>200</v>
      </c>
      <c r="H16" t="s">
        <v>51</v>
      </c>
      <c r="I16" t="s">
        <v>52</v>
      </c>
      <c r="N16">
        <f t="shared" si="1"/>
        <v>165</v>
      </c>
      <c r="O16" t="s">
        <v>21</v>
      </c>
    </row>
    <row r="17" spans="1:15">
      <c r="A17" t="s">
        <v>36</v>
      </c>
      <c r="B17" t="s">
        <v>37</v>
      </c>
      <c r="C17">
        <v>90</v>
      </c>
      <c r="D17">
        <v>100</v>
      </c>
      <c r="E17">
        <v>95</v>
      </c>
      <c r="F17">
        <v>105</v>
      </c>
      <c r="H17" t="s">
        <v>47</v>
      </c>
      <c r="I17">
        <f>HLOOKUP(E1,A1:F21,5,FALSE)</f>
        <v>155</v>
      </c>
      <c r="N17">
        <f t="shared" si="1"/>
        <v>220</v>
      </c>
      <c r="O17" t="s">
        <v>23</v>
      </c>
    </row>
    <row r="18" spans="1:15">
      <c r="A18" t="s">
        <v>38</v>
      </c>
      <c r="B18" t="s">
        <v>39</v>
      </c>
      <c r="C18">
        <v>140</v>
      </c>
      <c r="D18">
        <v>150</v>
      </c>
      <c r="E18">
        <v>145</v>
      </c>
      <c r="F18">
        <v>155</v>
      </c>
      <c r="N18">
        <f t="shared" si="1"/>
        <v>195</v>
      </c>
      <c r="O18" t="s">
        <v>25</v>
      </c>
    </row>
    <row r="19" spans="1:15">
      <c r="A19" t="s">
        <v>40</v>
      </c>
      <c r="B19" t="s">
        <v>41</v>
      </c>
      <c r="C19">
        <v>220</v>
      </c>
      <c r="D19">
        <v>230</v>
      </c>
      <c r="E19">
        <v>225</v>
      </c>
      <c r="F19">
        <v>240</v>
      </c>
      <c r="N19">
        <f t="shared" si="1"/>
        <v>115</v>
      </c>
      <c r="O19" t="s">
        <v>27</v>
      </c>
    </row>
    <row r="20" spans="1:15">
      <c r="A20" t="s">
        <v>42</v>
      </c>
      <c r="B20" t="s">
        <v>43</v>
      </c>
      <c r="C20">
        <v>170</v>
      </c>
      <c r="D20">
        <v>180</v>
      </c>
      <c r="E20">
        <v>175</v>
      </c>
      <c r="F20">
        <v>190</v>
      </c>
      <c r="N20">
        <f t="shared" si="1"/>
        <v>310</v>
      </c>
      <c r="O20" t="s">
        <v>29</v>
      </c>
    </row>
    <row r="21" spans="1:15">
      <c r="A21" t="s">
        <v>44</v>
      </c>
      <c r="B21" t="s">
        <v>45</v>
      </c>
      <c r="C21">
        <v>130</v>
      </c>
      <c r="D21">
        <v>140</v>
      </c>
      <c r="E21">
        <v>135</v>
      </c>
      <c r="F21">
        <v>145</v>
      </c>
      <c r="N21">
        <f t="shared" si="1"/>
        <v>265</v>
      </c>
      <c r="O21" t="s">
        <v>31</v>
      </c>
    </row>
    <row r="22" spans="1:15">
      <c r="N22">
        <f t="shared" si="1"/>
        <v>355</v>
      </c>
      <c r="O22" t="s">
        <v>33</v>
      </c>
    </row>
    <row r="23" spans="1:15">
      <c r="N23">
        <f t="shared" si="1"/>
        <v>185</v>
      </c>
      <c r="O23" t="s">
        <v>35</v>
      </c>
    </row>
    <row r="24" spans="1:15">
      <c r="N24">
        <f t="shared" si="1"/>
        <v>95</v>
      </c>
      <c r="O24" t="s">
        <v>37</v>
      </c>
    </row>
    <row r="25" spans="1:15">
      <c r="N25">
        <f t="shared" si="1"/>
        <v>145</v>
      </c>
      <c r="O25" t="s">
        <v>39</v>
      </c>
    </row>
    <row r="26" spans="1:15">
      <c r="N26">
        <f t="shared" si="1"/>
        <v>225</v>
      </c>
      <c r="O26" t="s">
        <v>41</v>
      </c>
    </row>
    <row r="27" spans="1:15">
      <c r="N27">
        <f t="shared" si="1"/>
        <v>175</v>
      </c>
      <c r="O27" t="s">
        <v>43</v>
      </c>
    </row>
    <row r="28" spans="1:15">
      <c r="N28">
        <f t="shared" si="1"/>
        <v>135</v>
      </c>
      <c r="O28" t="s">
        <v>45</v>
      </c>
    </row>
  </sheetData>
  <dataValidations count="2">
    <dataValidation type="list" allowBlank="1" showInputMessage="1" showErrorMessage="1" sqref="O4" xr:uid="{1C4315B9-928F-4B8E-9682-006C242A4D31}">
      <formula1>$B$2:$B$21</formula1>
    </dataValidation>
    <dataValidation type="list" allowBlank="1" showInputMessage="1" showErrorMessage="1" sqref="N8" xr:uid="{10BB901F-0C6A-4F4C-BEF0-AE4567A71EAF}">
      <formula1>$C$1:$F$1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3CB3-8DEF-4BAB-9DC0-098060C0163C}">
  <dimension ref="A1:R24"/>
  <sheetViews>
    <sheetView workbookViewId="0">
      <selection activeCell="I20" sqref="I20:I24"/>
    </sheetView>
  </sheetViews>
  <sheetFormatPr defaultRowHeight="14.4"/>
  <cols>
    <col min="9" max="9" width="74.44140625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8">
      <c r="A2" t="s">
        <v>6</v>
      </c>
      <c r="B2" t="s">
        <v>7</v>
      </c>
      <c r="C2">
        <v>250</v>
      </c>
      <c r="D2">
        <v>300</v>
      </c>
      <c r="E2">
        <v>280</v>
      </c>
      <c r="F2">
        <v>350</v>
      </c>
    </row>
    <row r="3" spans="1:18">
      <c r="A3" t="s">
        <v>8</v>
      </c>
      <c r="B3" t="s">
        <v>9</v>
      </c>
      <c r="C3">
        <v>400</v>
      </c>
      <c r="D3">
        <v>420</v>
      </c>
      <c r="E3">
        <v>410</v>
      </c>
      <c r="F3">
        <v>450</v>
      </c>
      <c r="H3" t="s">
        <v>2</v>
      </c>
      <c r="I3" t="s">
        <v>53</v>
      </c>
    </row>
    <row r="4" spans="1:18">
      <c r="A4" t="s">
        <v>10</v>
      </c>
      <c r="B4" t="s">
        <v>11</v>
      </c>
      <c r="C4">
        <v>180</v>
      </c>
      <c r="D4">
        <v>200</v>
      </c>
      <c r="E4">
        <v>210</v>
      </c>
      <c r="F4">
        <v>230</v>
      </c>
      <c r="H4" t="s">
        <v>47</v>
      </c>
      <c r="I4" t="e">
        <f>HLOOKUP(D1,A1:F21,MATCH(A25,B1:B25,0),FALSE)</f>
        <v>#N/A</v>
      </c>
      <c r="R4" t="e" cm="1">
        <f t="array" ref="R4">MATCH</f>
        <v>#NAME?</v>
      </c>
    </row>
    <row r="5" spans="1:18">
      <c r="A5" t="s">
        <v>12</v>
      </c>
      <c r="B5" t="s">
        <v>13</v>
      </c>
      <c r="C5">
        <v>150</v>
      </c>
      <c r="D5">
        <v>160</v>
      </c>
      <c r="E5">
        <v>155</v>
      </c>
      <c r="F5">
        <v>165</v>
      </c>
    </row>
    <row r="6" spans="1:18">
      <c r="A6" t="s">
        <v>14</v>
      </c>
      <c r="B6" t="s">
        <v>15</v>
      </c>
      <c r="C6">
        <v>90</v>
      </c>
      <c r="D6">
        <v>95</v>
      </c>
      <c r="E6">
        <v>92</v>
      </c>
      <c r="F6">
        <v>97</v>
      </c>
      <c r="H6" t="s">
        <v>3</v>
      </c>
      <c r="I6" t="s">
        <v>54</v>
      </c>
    </row>
    <row r="7" spans="1:18">
      <c r="A7" t="s">
        <v>16</v>
      </c>
      <c r="B7" t="s">
        <v>17</v>
      </c>
      <c r="C7">
        <v>75</v>
      </c>
      <c r="D7">
        <v>80</v>
      </c>
      <c r="E7">
        <v>78</v>
      </c>
      <c r="F7">
        <v>85</v>
      </c>
      <c r="I7" t="str">
        <f>IFERROR(HLOOKUP(A22,A1:F21,MATCH(A22,B1:B22,0),FALSE),"Not Found")</f>
        <v>Not Found</v>
      </c>
    </row>
    <row r="8" spans="1:18">
      <c r="A8" t="s">
        <v>18</v>
      </c>
      <c r="B8" t="s">
        <v>19</v>
      </c>
      <c r="C8">
        <v>120</v>
      </c>
      <c r="D8">
        <v>130</v>
      </c>
      <c r="E8">
        <v>125</v>
      </c>
      <c r="F8">
        <v>140</v>
      </c>
    </row>
    <row r="9" spans="1:18">
      <c r="A9" t="s">
        <v>20</v>
      </c>
      <c r="B9" t="s">
        <v>21</v>
      </c>
      <c r="C9">
        <v>160</v>
      </c>
      <c r="D9">
        <v>170</v>
      </c>
      <c r="E9">
        <v>165</v>
      </c>
      <c r="F9">
        <v>180</v>
      </c>
      <c r="H9" t="s">
        <v>5</v>
      </c>
      <c r="I9" t="s">
        <v>55</v>
      </c>
    </row>
    <row r="10" spans="1:18">
      <c r="A10" t="s">
        <v>22</v>
      </c>
      <c r="B10" t="s">
        <v>23</v>
      </c>
      <c r="C10">
        <v>210</v>
      </c>
      <c r="D10">
        <v>230</v>
      </c>
      <c r="E10">
        <v>220</v>
      </c>
      <c r="F10">
        <v>240</v>
      </c>
      <c r="I10" t="e">
        <f>HLOOKUP(F1,[1]SalesData!A1:F21,MATCH("SSD",B1:B21,0),FALSE)</f>
        <v>#N/A</v>
      </c>
    </row>
    <row r="11" spans="1:18">
      <c r="A11" t="s">
        <v>24</v>
      </c>
      <c r="B11" t="s">
        <v>25</v>
      </c>
      <c r="C11">
        <v>190</v>
      </c>
      <c r="D11">
        <v>200</v>
      </c>
      <c r="E11">
        <v>195</v>
      </c>
      <c r="F11">
        <v>205</v>
      </c>
      <c r="H11" t="s">
        <v>51</v>
      </c>
      <c r="I11" t="s">
        <v>56</v>
      </c>
    </row>
    <row r="12" spans="1:18">
      <c r="A12" t="s">
        <v>26</v>
      </c>
      <c r="B12" t="s">
        <v>27</v>
      </c>
      <c r="C12">
        <v>110</v>
      </c>
      <c r="D12">
        <v>120</v>
      </c>
      <c r="E12">
        <v>115</v>
      </c>
      <c r="F12">
        <v>130</v>
      </c>
      <c r="I12" t="e">
        <f>HLOOKUP(400,A1:F21,22,TRUE)</f>
        <v>#N/A</v>
      </c>
    </row>
    <row r="13" spans="1:18">
      <c r="A13" t="s">
        <v>28</v>
      </c>
      <c r="B13" t="s">
        <v>29</v>
      </c>
      <c r="C13">
        <v>300</v>
      </c>
      <c r="D13">
        <v>320</v>
      </c>
      <c r="E13">
        <v>310</v>
      </c>
      <c r="F13">
        <v>330</v>
      </c>
    </row>
    <row r="14" spans="1:18">
      <c r="A14" t="s">
        <v>30</v>
      </c>
      <c r="B14" t="s">
        <v>31</v>
      </c>
      <c r="C14">
        <v>260</v>
      </c>
      <c r="D14">
        <v>270</v>
      </c>
      <c r="E14">
        <v>265</v>
      </c>
      <c r="F14">
        <v>280</v>
      </c>
      <c r="H14" t="s">
        <v>57</v>
      </c>
      <c r="I14" t="s">
        <v>58</v>
      </c>
    </row>
    <row r="15" spans="1:18">
      <c r="A15" t="s">
        <v>32</v>
      </c>
      <c r="B15" t="s">
        <v>33</v>
      </c>
      <c r="C15">
        <v>350</v>
      </c>
      <c r="D15">
        <v>360</v>
      </c>
      <c r="E15">
        <v>355</v>
      </c>
      <c r="F15">
        <v>370</v>
      </c>
      <c r="I15">
        <f>HLOOKUP(E1,A1:F21,MATCH(E24,A1:A21,0),FALSE)</f>
        <v>410</v>
      </c>
    </row>
    <row r="16" spans="1:18">
      <c r="A16" t="s">
        <v>34</v>
      </c>
      <c r="B16" t="s">
        <v>35</v>
      </c>
      <c r="C16">
        <v>180</v>
      </c>
      <c r="D16">
        <v>190</v>
      </c>
      <c r="E16">
        <v>185</v>
      </c>
      <c r="F16">
        <v>200</v>
      </c>
    </row>
    <row r="17" spans="1:6">
      <c r="A17" t="s">
        <v>36</v>
      </c>
      <c r="B17" t="s">
        <v>37</v>
      </c>
      <c r="C17">
        <v>90</v>
      </c>
      <c r="D17">
        <v>100</v>
      </c>
      <c r="E17">
        <v>95</v>
      </c>
      <c r="F17">
        <v>105</v>
      </c>
    </row>
    <row r="18" spans="1:6">
      <c r="A18" t="s">
        <v>38</v>
      </c>
      <c r="B18" t="s">
        <v>39</v>
      </c>
      <c r="C18">
        <v>140</v>
      </c>
      <c r="D18">
        <v>150</v>
      </c>
      <c r="E18">
        <v>145</v>
      </c>
      <c r="F18">
        <v>155</v>
      </c>
    </row>
    <row r="19" spans="1:6">
      <c r="A19" t="s">
        <v>40</v>
      </c>
      <c r="B19" t="s">
        <v>41</v>
      </c>
      <c r="C19">
        <v>220</v>
      </c>
      <c r="D19">
        <v>230</v>
      </c>
      <c r="E19">
        <v>225</v>
      </c>
      <c r="F19">
        <v>240</v>
      </c>
    </row>
    <row r="20" spans="1:6">
      <c r="A20" t="s">
        <v>42</v>
      </c>
      <c r="B20" t="s">
        <v>43</v>
      </c>
      <c r="C20">
        <v>170</v>
      </c>
      <c r="D20">
        <v>180</v>
      </c>
      <c r="E20">
        <v>175</v>
      </c>
      <c r="F20">
        <v>190</v>
      </c>
    </row>
    <row r="21" spans="1:6">
      <c r="A21" t="s">
        <v>44</v>
      </c>
      <c r="B21" t="s">
        <v>45</v>
      </c>
      <c r="C21">
        <v>130</v>
      </c>
      <c r="D21">
        <v>140</v>
      </c>
      <c r="E21">
        <v>135</v>
      </c>
      <c r="F21">
        <v>145</v>
      </c>
    </row>
    <row r="24" spans="1:6">
      <c r="E2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0857-E127-46BC-AEDC-0FB1A724A731}">
  <dimension ref="A1:M25"/>
  <sheetViews>
    <sheetView tabSelected="1" workbookViewId="0">
      <selection activeCell="H14" sqref="H14"/>
    </sheetView>
  </sheetViews>
  <sheetFormatPr defaultRowHeight="14.4"/>
  <cols>
    <col min="2" max="2" width="12.6640625" bestFit="1" customWidth="1"/>
    <col min="7" max="7" width="11.554687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>
      <c r="A2" s="2" t="s">
        <v>6</v>
      </c>
      <c r="B2" s="2" t="s">
        <v>7</v>
      </c>
      <c r="C2" s="2">
        <v>250</v>
      </c>
      <c r="D2" s="2">
        <v>300</v>
      </c>
      <c r="E2" s="2">
        <v>280</v>
      </c>
      <c r="F2" s="2">
        <v>350</v>
      </c>
      <c r="L2" t="s">
        <v>2</v>
      </c>
      <c r="M2" t="s">
        <v>59</v>
      </c>
    </row>
    <row r="3" spans="1:13">
      <c r="A3" s="2" t="s">
        <v>8</v>
      </c>
      <c r="B3" s="2" t="s">
        <v>9</v>
      </c>
      <c r="C3" s="2">
        <v>400</v>
      </c>
      <c r="D3" s="2">
        <v>420</v>
      </c>
      <c r="E3" s="2">
        <v>410</v>
      </c>
      <c r="F3" s="2">
        <v>450</v>
      </c>
      <c r="M3">
        <f>IF(HLOOKUP(F1,A1:F21,MATCH("Laptop",B1:B21,0),FALSE)&lt;300,"Low",HLOOKUP(F1,A1:F21,MATCH("Laptop",B1:B21,0),FALSE))</f>
        <v>350</v>
      </c>
    </row>
    <row r="4" spans="1:13">
      <c r="A4" s="2" t="s">
        <v>10</v>
      </c>
      <c r="B4" s="2" t="s">
        <v>11</v>
      </c>
      <c r="C4" s="2">
        <v>180</v>
      </c>
      <c r="D4" s="2">
        <v>200</v>
      </c>
      <c r="E4" s="2">
        <v>210</v>
      </c>
      <c r="F4" s="2">
        <v>230</v>
      </c>
      <c r="L4" t="s">
        <v>3</v>
      </c>
      <c r="M4" t="s">
        <v>60</v>
      </c>
    </row>
    <row r="5" spans="1:13">
      <c r="A5" s="2" t="s">
        <v>12</v>
      </c>
      <c r="B5" s="2" t="s">
        <v>13</v>
      </c>
      <c r="C5" s="2">
        <v>150</v>
      </c>
      <c r="D5" s="2">
        <v>160</v>
      </c>
      <c r="E5" s="2">
        <v>155</v>
      </c>
      <c r="F5" s="2">
        <v>165</v>
      </c>
      <c r="H5">
        <f>SUM(C2,D2)</f>
        <v>550</v>
      </c>
      <c r="M5">
        <f>IF(HLOOKUP(D1,B1:F21,MATCH("Router",B1:B21,0),FALSE)=" ","Data Missing",HLOOKUP(D1,B1:F21,MATCH("Router",B1:B21,0),FALSE))</f>
        <v>120</v>
      </c>
    </row>
    <row r="6" spans="1:13">
      <c r="A6" s="2" t="s">
        <v>14</v>
      </c>
      <c r="B6" s="2" t="s">
        <v>15</v>
      </c>
      <c r="C6" s="2">
        <v>90</v>
      </c>
      <c r="D6" s="2">
        <v>95</v>
      </c>
      <c r="E6" s="2">
        <v>92</v>
      </c>
      <c r="F6" s="2">
        <v>97</v>
      </c>
      <c r="L6" t="s">
        <v>4</v>
      </c>
      <c r="M6" t="s">
        <v>61</v>
      </c>
    </row>
    <row r="7" spans="1:13">
      <c r="A7" s="2" t="s">
        <v>16</v>
      </c>
      <c r="B7" s="2" t="s">
        <v>17</v>
      </c>
      <c r="C7" s="2">
        <v>75</v>
      </c>
      <c r="D7" s="2">
        <v>80</v>
      </c>
      <c r="E7" s="2">
        <v>78</v>
      </c>
      <c r="F7" s="2">
        <v>85</v>
      </c>
      <c r="M7">
        <f>HLOOKUP(B25,B1:F21,MATCH("Tablet",B1:B21,0),FALSE)</f>
        <v>200</v>
      </c>
    </row>
    <row r="8" spans="1:13">
      <c r="A8" s="2" t="s">
        <v>18</v>
      </c>
      <c r="B8" s="2" t="s">
        <v>19</v>
      </c>
      <c r="C8" s="2">
        <v>120</v>
      </c>
      <c r="D8" s="2">
        <v>130</v>
      </c>
      <c r="E8" s="2">
        <v>125</v>
      </c>
      <c r="F8" s="2">
        <v>140</v>
      </c>
    </row>
    <row r="9" spans="1:13">
      <c r="A9" s="2" t="s">
        <v>20</v>
      </c>
      <c r="B9" s="2" t="s">
        <v>21</v>
      </c>
      <c r="C9" s="2">
        <v>160</v>
      </c>
      <c r="D9" s="2">
        <v>170</v>
      </c>
      <c r="E9" s="2">
        <v>165</v>
      </c>
      <c r="F9" s="2">
        <v>180</v>
      </c>
      <c r="K9" t="s">
        <v>5</v>
      </c>
      <c r="L9" t="s">
        <v>62</v>
      </c>
    </row>
    <row r="10" spans="1:13">
      <c r="A10" s="2" t="s">
        <v>22</v>
      </c>
      <c r="B10" s="2" t="s">
        <v>23</v>
      </c>
      <c r="C10" s="2">
        <v>210</v>
      </c>
      <c r="D10" s="2">
        <v>230</v>
      </c>
      <c r="E10" s="2">
        <v>220</v>
      </c>
      <c r="F10" s="2">
        <v>240</v>
      </c>
      <c r="K10" t="s">
        <v>47</v>
      </c>
      <c r="L10">
        <f>AVERAGE(HLOOKUP(C1,A1:F21,5,FALSE),HLOOKUP(D1,A1:F21,5,FALSE),HLOOKUP(E1,A1:F21,5,FALSE),HLOOKUP(F1,A1:F21,5,FALSE))</f>
        <v>157.5</v>
      </c>
    </row>
    <row r="11" spans="1:13">
      <c r="A11" s="2" t="s">
        <v>24</v>
      </c>
      <c r="B11" s="2" t="s">
        <v>25</v>
      </c>
      <c r="C11" s="2">
        <v>190</v>
      </c>
      <c r="D11" s="2">
        <v>200</v>
      </c>
      <c r="E11" s="2">
        <v>195</v>
      </c>
      <c r="F11" s="2">
        <v>205</v>
      </c>
      <c r="K11" s="3" t="s">
        <v>51</v>
      </c>
      <c r="L11" s="3" t="s">
        <v>68</v>
      </c>
    </row>
    <row r="12" spans="1:13">
      <c r="A12" s="2" t="s">
        <v>26</v>
      </c>
      <c r="B12" s="2" t="s">
        <v>27</v>
      </c>
      <c r="C12" s="2">
        <v>110</v>
      </c>
      <c r="D12" s="2">
        <v>120</v>
      </c>
      <c r="E12" s="2">
        <v>115</v>
      </c>
      <c r="F12" s="2">
        <v>130</v>
      </c>
      <c r="K12" t="s">
        <v>47</v>
      </c>
      <c r="L12">
        <f>HLOOKUP(D1,A1:F21,MATCH("Projector",B1:B21,0),FALSE)*1.05</f>
        <v>126</v>
      </c>
    </row>
    <row r="13" spans="1:13">
      <c r="A13" s="2" t="s">
        <v>28</v>
      </c>
      <c r="B13" s="2" t="s">
        <v>29</v>
      </c>
      <c r="C13" s="2">
        <v>300</v>
      </c>
      <c r="D13" s="2">
        <v>120</v>
      </c>
      <c r="E13" s="2">
        <v>310</v>
      </c>
      <c r="F13" s="2">
        <v>330</v>
      </c>
      <c r="K13" t="s">
        <v>57</v>
      </c>
      <c r="L13" t="s">
        <v>63</v>
      </c>
    </row>
    <row r="14" spans="1:13">
      <c r="A14" s="2" t="s">
        <v>30</v>
      </c>
      <c r="B14" s="2" t="s">
        <v>31</v>
      </c>
      <c r="C14" s="2">
        <v>260</v>
      </c>
      <c r="D14" s="2"/>
      <c r="E14" s="2">
        <v>265</v>
      </c>
      <c r="F14" s="2">
        <v>280</v>
      </c>
      <c r="K14" t="s">
        <v>47</v>
      </c>
      <c r="L14" t="str">
        <f>IF(HLOOKUP(F1,A1:F22,MATCH("Power Bank",B1:B21,0),FALSE)&gt;190,"Target Achieved","Target not Achieved")</f>
        <v>Target Achieved</v>
      </c>
    </row>
    <row r="15" spans="1:13">
      <c r="A15" s="2" t="s">
        <v>32</v>
      </c>
      <c r="B15" s="2" t="s">
        <v>33</v>
      </c>
      <c r="C15" s="2">
        <v>350</v>
      </c>
      <c r="D15" s="2">
        <v>120</v>
      </c>
      <c r="E15" s="2">
        <v>355</v>
      </c>
      <c r="F15" s="2">
        <v>370</v>
      </c>
      <c r="K15" t="s">
        <v>69</v>
      </c>
      <c r="L15" t="s">
        <v>64</v>
      </c>
    </row>
    <row r="16" spans="1:13">
      <c r="A16" s="2" t="s">
        <v>34</v>
      </c>
      <c r="B16" s="2" t="s">
        <v>35</v>
      </c>
      <c r="C16" s="2">
        <v>180</v>
      </c>
      <c r="D16" s="2">
        <v>120</v>
      </c>
      <c r="E16" s="2">
        <v>185</v>
      </c>
      <c r="F16" s="2">
        <v>200</v>
      </c>
      <c r="K16" t="s">
        <v>47</v>
      </c>
      <c r="L16">
        <f>ROUND(HLOOKUP(E1,A1:F21,11,FALSE),3)</f>
        <v>195</v>
      </c>
    </row>
    <row r="17" spans="1:12">
      <c r="A17" s="2" t="s">
        <v>36</v>
      </c>
      <c r="B17" s="2" t="s">
        <v>37</v>
      </c>
      <c r="C17" s="2">
        <v>90</v>
      </c>
      <c r="D17" s="2">
        <v>120</v>
      </c>
      <c r="E17" s="2">
        <v>95</v>
      </c>
      <c r="F17" s="2">
        <v>105</v>
      </c>
      <c r="K17" t="s">
        <v>70</v>
      </c>
      <c r="L17" t="s">
        <v>65</v>
      </c>
    </row>
    <row r="18" spans="1:12">
      <c r="A18" s="2" t="s">
        <v>38</v>
      </c>
      <c r="B18" s="2" t="s">
        <v>39</v>
      </c>
      <c r="C18" s="2">
        <v>140</v>
      </c>
      <c r="D18" s="2">
        <v>120</v>
      </c>
      <c r="E18" s="2">
        <v>145</v>
      </c>
      <c r="F18" s="2">
        <v>155</v>
      </c>
      <c r="L18">
        <f>IFERROR(HLOOKUP(D1,A1:F21,MATCH("Hard Disk",B1:B21,0),FALSE),"N/A")</f>
        <v>0</v>
      </c>
    </row>
    <row r="19" spans="1:12">
      <c r="A19" s="2" t="s">
        <v>40</v>
      </c>
      <c r="B19" s="2" t="s">
        <v>41</v>
      </c>
      <c r="C19" s="2">
        <v>220</v>
      </c>
      <c r="D19" s="2">
        <v>120</v>
      </c>
      <c r="E19" s="2">
        <v>225</v>
      </c>
      <c r="F19" s="2">
        <v>240</v>
      </c>
      <c r="K19" t="s">
        <v>71</v>
      </c>
      <c r="L19" t="s">
        <v>66</v>
      </c>
    </row>
    <row r="20" spans="1:12">
      <c r="A20" s="2" t="s">
        <v>42</v>
      </c>
      <c r="B20" s="2" t="s">
        <v>43</v>
      </c>
      <c r="C20" s="2">
        <v>170</v>
      </c>
      <c r="D20" s="2">
        <v>120</v>
      </c>
      <c r="E20" s="2">
        <v>175</v>
      </c>
      <c r="F20" s="2">
        <v>190</v>
      </c>
      <c r="K20" t="s">
        <v>47</v>
      </c>
      <c r="L20">
        <f>HLOOKUP(F1,A1:F21,MATCH(G25,B1:B21,0),FALSE)</f>
        <v>240</v>
      </c>
    </row>
    <row r="21" spans="1:12">
      <c r="A21" s="2" t="s">
        <v>44</v>
      </c>
      <c r="B21" s="2" t="s">
        <v>45</v>
      </c>
      <c r="C21" s="2">
        <v>130</v>
      </c>
      <c r="D21" s="2">
        <v>120</v>
      </c>
      <c r="E21" s="2">
        <v>135</v>
      </c>
      <c r="F21" s="2">
        <v>145</v>
      </c>
      <c r="K21" t="s">
        <v>72</v>
      </c>
      <c r="L21" t="s">
        <v>67</v>
      </c>
    </row>
    <row r="22" spans="1:12">
      <c r="K22" t="s">
        <v>47</v>
      </c>
      <c r="L22" t="str">
        <f>HLOOKUP(E1,A1:F21,MATCH("Bluetooth",B1:B21,0),FALSE)&amp;"Units"</f>
        <v>175Units</v>
      </c>
    </row>
    <row r="25" spans="1:12">
      <c r="B25" t="s">
        <v>3</v>
      </c>
      <c r="G25" s="2" t="s">
        <v>41</v>
      </c>
      <c r="H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Question</vt:lpstr>
      <vt:lpstr>Intermediate Q</vt:lpstr>
      <vt:lpstr>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Meshram</dc:creator>
  <cp:lastModifiedBy>Nitin Meshram</cp:lastModifiedBy>
  <dcterms:created xsi:type="dcterms:W3CDTF">2015-06-05T18:17:20Z</dcterms:created>
  <dcterms:modified xsi:type="dcterms:W3CDTF">2025-11-13T11:08:20Z</dcterms:modified>
</cp:coreProperties>
</file>